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 блюдам" sheetId="1" state="visible" r:id="rId3"/>
    <sheet name="Инструкция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<sst xmlns="http://schemas.openxmlformats.org/spreadsheetml/2006/main" count="41" uniqueCount="41">
  <si>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ШАБЛОН: ЕЖЕНЕДЕЛЬНЫЙ КОНТРОЛЬ FOODCOST</t>
  </si>
  <si>
    <t xml:space="preserve">Заполняйте жёлтые ячейки еженедельно. Остальное считается автоматически.</t>
  </si>
  <si>
    <t xml:space="preserve">Заведение:</t>
  </si>
  <si>
    <t xml:space="preserve">Введите название</t>
  </si>
  <si>
    <t xml:space="preserve">Неделя (даты):</t>
  </si>
  <si>
    <t xml:space="preserve">дд.мм — дд.мм</t>
  </si>
  <si>
    <t xml:space="preserve">Ответственный:</t>
  </si>
  <si>
    <t xml:space="preserve">ФИО</t>
  </si>
  <si>
    <t xml:space="preserve">№</t>
  </si>
  <si>
    <t xml:space="preserve">Блюдо</t>
  </si>
  <si>
    <t xml:space="preserve">Кол-во продаж, шт</t>
  </si>
  <si>
    <t xml:space="preserve">Себестоимость по
техкарте, руб/порц.</t>
  </si>
  <si>
    <t xml:space="preserve">Цена продажи,
руб.</t>
  </si>
  <si>
    <t xml:space="preserve">Теор. foodcost, %</t>
  </si>
  <si>
    <t xml:space="preserve">Списания/потери за
неделю, руб.</t>
  </si>
  <si>
    <t xml:space="preserve">Комплименты,
руб.</t>
  </si>
  <si>
    <t xml:space="preserve">Фактическая себест.
всего, руб.</t>
  </si>
  <si>
    <t xml:space="preserve">Факт. foodcost, %</t>
  </si>
  <si>
    <t xml:space="preserve">Отклонение,
п.п.</t>
  </si>
  <si>
    <t xml:space="preserve">1</t>
  </si>
  <si>
    <t xml:space="preserve">Стейк рибай</t>
  </si>
  <si>
    <t xml:space="preserve">ИТОГО ПО ЗАВЕДЕНИЮ ЗА НЕДЕЛЮ</t>
  </si>
  <si>
    <t xml:space="preserve">Выручка заведения за неделю, руб.:</t>
  </si>
  <si>
    <t xml:space="preserve">Foodcost заведения за неделю, % (I24/E26):</t>
  </si>
  <si>
    <t xml:space="preserve">Норма foodcost по международным бенчмаркам: 28–32%. Отклонение теор./факт. более 2–3 п.п. — сигнал к аудиту.</t>
  </si>
  <si>
    <t xml:space="preserve">Жёлтые ячейки — заполняются вручную. Белые ячейки — считаются автоматически по формулам. Строка 1 — пример.</t>
  </si>
  <si>
    <t xml:space="preserve">КАК ПОЛЬЗОВАТЬСЯ ШАБЛОНОМ</t>
  </si>
  <si>
    <t xml:space="preserve">1.</t>
  </si>
  <si>
    <t xml:space="preserve">Заполняйте лист «По блюдам» каждую неделю по топ-позициям меню (рекомендуем от 10 до 30 самых продаваемых блюд).</t>
  </si>
  <si>
    <t xml:space="preserve">2.</t>
  </si>
  <si>
    <t xml:space="preserve">В столбцы C–E внесите фактическое количество продаж, себестоимость по техкарте и цену продажи.</t>
  </si>
  <si>
    <t xml:space="preserve">3.</t>
  </si>
  <si>
    <t xml:space="preserve">В столбцы G и H внесите данные по итогам инвентаризации: сумму списаний/потерь и стоимость комплиментов, отнесённых к этому блюду за неделю.</t>
  </si>
  <si>
    <t xml:space="preserve">4.</t>
  </si>
  <si>
    <t xml:space="preserve">Столбцы F, I, J, K считаются автоматически: теоретический foodcost, фактическая себестоимость, фактический foodcost и отклонение в процентных пунктах.</t>
  </si>
  <si>
    <t xml:space="preserve">5.</t>
  </si>
  <si>
    <t xml:space="preserve">Внесите общую выручку заведения за неделю в отдельное поле — получите общий foodcost заведения.</t>
  </si>
  <si>
    <t xml:space="preserve">6.</t>
  </si>
  <si>
    <t xml:space="preserve">Разбирайте отклонения выше 2–3 п.п. на еженедельной планёрке — это сигнал к аудиту закупок, порционирования или списаний.</t>
  </si>
  <si>
    <t xml:space="preserve">7.</t>
  </si>
  <si>
    <t xml:space="preserve">Норма foodcost по международным бенчмаркам — 28–32% от выручки. Для фастфуда — 15–25%, для ресторанов полного цикла — 25–35%.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</si>
</sst>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22"/>
        <bgColor rgb="FF003300"/>
      </patternFill>
    </fill>
    <fill>
      <patternFill patternType="solid">
        <fgColor rgb="FFFFF2CC"/>
        <bgColor rgb="FFFFFFFF"/>
      </patternFill>
    </fill>
    <fill>
      <patternFill patternType="solid">
        <fgColor rgb="FF2F5233"/>
        <bgColor rgb="FF1F3A22"/>
      </patternFill>
    </fill>
    <fill>
      <patternFill patternType="solid">
        <fgColor rgb="FFD9E2D0"/>
        <bgColor rgb="FFC6E0B4"/>
      </patternFill>
    </fill>
    <fill>
      <patternFill patternType="solid">
        <fgColor rgb="FFC6E0B4"/>
        <bgColor rgb="FFD9E2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F5233"/>
      <rgbColor rgb="FF993300"/>
      <rgbColor rgb="FF993366"/>
      <rgbColor rgb="FF333399"/>
      <rgbColor rgb="FF1F3A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F4" s="3" t="s">
        <v>4</v>
      </c>
      <c r="G4" s="4" t="s">
        <v>5</v>
      </c>
      <c r="H4" s="4"/>
    </row>
    <row r="5" customFormat="false" ht="15" hidden="false" customHeight="false" outlineLevel="0" collapsed="false">
      <c r="A5" s="3" t="s">
        <v>6</v>
      </c>
      <c r="B5" s="4" t="s">
        <v>7</v>
      </c>
      <c r="C5" s="4"/>
      <c r="D5" s="4"/>
    </row>
    <row r="7" customFormat="false" ht="42" hidden="false" customHeight="true" outlineLevel="0" collapsed="false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  <c r="J7" s="5" t="s">
        <v>17</v>
      </c>
      <c r="K7" s="5" t="s">
        <v>18</v>
      </c>
    </row>
    <row r="8" customFormat="false" ht="15" hidden="false" customHeight="false" outlineLevel="0" collapsed="false">
      <c r="A8" s="6" t="s">
        <v>19</v>
      </c>
      <c r="B8" s="6" t="s">
        <v>20</v>
      </c>
      <c r="C8" s="7" t="n">
        <v>200</v>
      </c>
      <c r="D8" s="7" t="n">
        <v>278</v>
      </c>
      <c r="E8" s="7" t="n">
        <v>1200</v>
      </c>
      <c r="F8" s="8" t="n">
        <f aca="false">IFERROR(D8/E8*100,0)</f>
        <v>23.1666666666667</v>
      </c>
      <c r="G8" s="7" t="n">
        <v>4400</v>
      </c>
      <c r="H8" s="7" t="n">
        <v>1600</v>
      </c>
      <c r="I8" s="6" t="n">
        <f aca="false">D8*C8+G8+H8</f>
        <v>61600</v>
      </c>
      <c r="J8" s="8" t="n">
        <f aca="false">IFERROR(I8/(E8*C8)*100,0)</f>
        <v>25.6666666666667</v>
      </c>
      <c r="K8" s="8" t="n">
        <f aca="false">J8-F8</f>
        <v>2.5</v>
      </c>
    </row>
    <row r="9" customFormat="false" ht="15" hidden="false" customHeight="false" outlineLevel="0" collapsed="false">
      <c r="A9" s="6" t="n">
        <v>2</v>
      </c>
      <c r="B9" s="7"/>
      <c r="C9" s="7"/>
      <c r="D9" s="7"/>
      <c r="E9" s="7"/>
      <c r="F9" s="8" t="n">
        <f aca="false">IFERROR(D9/E9*100,0)</f>
        <v>0</v>
      </c>
      <c r="G9" s="7"/>
      <c r="H9" s="7"/>
      <c r="I9" s="6" t="str">
        <f aca="false">IF(C9="","",D9*C9+G9+H9)</f>
        <v/>
      </c>
      <c r="J9" s="8" t="n">
        <f aca="false">IFERROR(I9/(E9*C9)*100,0)</f>
        <v>0</v>
      </c>
      <c r="K9" s="8" t="n">
        <f aca="false">IFERROR(J9-F9,0)</f>
        <v>0</v>
      </c>
    </row>
    <row r="10" customFormat="false" ht="15" hidden="false" customHeight="false" outlineLevel="0" collapsed="false">
      <c r="A10" s="6" t="n">
        <v>3</v>
      </c>
      <c r="B10" s="7"/>
      <c r="C10" s="7"/>
      <c r="D10" s="7"/>
      <c r="E10" s="7"/>
      <c r="F10" s="8" t="n">
        <f aca="false">IFERROR(D10/E10*100,0)</f>
        <v>0</v>
      </c>
      <c r="G10" s="7"/>
      <c r="H10" s="7"/>
      <c r="I10" s="6" t="str">
        <f aca="false">IF(C10="","",D10*C10+G10+H10)</f>
        <v/>
      </c>
      <c r="J10" s="8" t="n">
        <f aca="false">IFERROR(I10/(E10*C10)*100,0)</f>
        <v>0</v>
      </c>
      <c r="K10" s="8" t="n">
        <f aca="false">IFERROR(J10-F10,0)</f>
        <v>0</v>
      </c>
    </row>
    <row r="11" customFormat="false" ht="15" hidden="false" customHeight="false" outlineLevel="0" collapsed="false">
      <c r="A11" s="6" t="n">
        <v>4</v>
      </c>
      <c r="B11" s="7"/>
      <c r="C11" s="7"/>
      <c r="D11" s="7"/>
      <c r="E11" s="7"/>
      <c r="F11" s="8" t="n">
        <f aca="false">IFERROR(D11/E11*100,0)</f>
        <v>0</v>
      </c>
      <c r="G11" s="7"/>
      <c r="H11" s="7"/>
      <c r="I11" s="6" t="str">
        <f aca="false">IF(C11="","",D11*C11+G11+H11)</f>
        <v/>
      </c>
      <c r="J11" s="8" t="n">
        <f aca="false">IFERROR(I11/(E11*C11)*100,0)</f>
        <v>0</v>
      </c>
      <c r="K11" s="8" t="n">
        <f aca="false">IFERROR(J11-F11,0)</f>
        <v>0</v>
      </c>
    </row>
    <row r="12" customFormat="false" ht="15" hidden="false" customHeight="false" outlineLevel="0" collapsed="false">
      <c r="A12" s="6" t="n">
        <v>5</v>
      </c>
      <c r="B12" s="7"/>
      <c r="C12" s="7"/>
      <c r="D12" s="7"/>
      <c r="E12" s="7"/>
      <c r="F12" s="8" t="n">
        <f aca="false">IFERROR(D12/E12*100,0)</f>
        <v>0</v>
      </c>
      <c r="G12" s="7"/>
      <c r="H12" s="7"/>
      <c r="I12" s="6" t="str">
        <f aca="false">IF(C12="","",D12*C12+G12+H12)</f>
        <v/>
      </c>
      <c r="J12" s="8" t="n">
        <f aca="false">IFERROR(I12/(E12*C12)*100,0)</f>
        <v>0</v>
      </c>
      <c r="K12" s="8" t="n">
        <f aca="false">IFERROR(J12-F12,0)</f>
        <v>0</v>
      </c>
    </row>
    <row r="13" customFormat="false" ht="15" hidden="false" customHeight="false" outlineLevel="0" collapsed="false">
      <c r="A13" s="6" t="n">
        <v>6</v>
      </c>
      <c r="B13" s="7"/>
      <c r="C13" s="7"/>
      <c r="D13" s="7"/>
      <c r="E13" s="7"/>
      <c r="F13" s="8" t="n">
        <f aca="false">IFERROR(D13/E13*100,0)</f>
        <v>0</v>
      </c>
      <c r="G13" s="7"/>
      <c r="H13" s="7"/>
      <c r="I13" s="6" t="str">
        <f aca="false">IF(C13="","",D13*C13+G13+H13)</f>
        <v/>
      </c>
      <c r="J13" s="8" t="n">
        <f aca="false">IFERROR(I13/(E13*C13)*100,0)</f>
        <v>0</v>
      </c>
      <c r="K13" s="8" t="n">
        <f aca="false">IFERROR(J13-F13,0)</f>
        <v>0</v>
      </c>
    </row>
    <row r="14" customFormat="false" ht="15" hidden="false" customHeight="false" outlineLevel="0" collapsed="false">
      <c r="A14" s="6" t="n">
        <v>7</v>
      </c>
      <c r="B14" s="7"/>
      <c r="C14" s="7"/>
      <c r="D14" s="7"/>
      <c r="E14" s="7"/>
      <c r="F14" s="8" t="n">
        <f aca="false">IFERROR(D14/E14*100,0)</f>
        <v>0</v>
      </c>
      <c r="G14" s="7"/>
      <c r="H14" s="7"/>
      <c r="I14" s="6" t="str">
        <f aca="false">IF(C14="","",D14*C14+G14+H14)</f>
        <v/>
      </c>
      <c r="J14" s="8" t="n">
        <f aca="false">IFERROR(I14/(E14*C14)*100,0)</f>
        <v>0</v>
      </c>
      <c r="K14" s="8" t="n">
        <f aca="false">IFERROR(J14-F14,0)</f>
        <v>0</v>
      </c>
    </row>
    <row r="15" customFormat="false" ht="15" hidden="false" customHeight="false" outlineLevel="0" collapsed="false">
      <c r="A15" s="6" t="n">
        <v>8</v>
      </c>
      <c r="B15" s="7"/>
      <c r="C15" s="7"/>
      <c r="D15" s="7"/>
      <c r="E15" s="7"/>
      <c r="F15" s="8" t="n">
        <f aca="false">IFERROR(D15/E15*100,0)</f>
        <v>0</v>
      </c>
      <c r="G15" s="7"/>
      <c r="H15" s="7"/>
      <c r="I15" s="6" t="str">
        <f aca="false">IF(C15="","",D15*C15+G15+H15)</f>
        <v/>
      </c>
      <c r="J15" s="8" t="n">
        <f aca="false">IFERROR(I15/(E15*C15)*100,0)</f>
        <v>0</v>
      </c>
      <c r="K15" s="8" t="n">
        <f aca="false">IFERROR(J15-F15,0)</f>
        <v>0</v>
      </c>
    </row>
    <row r="16" customFormat="false" ht="15" hidden="false" customHeight="false" outlineLevel="0" collapsed="false">
      <c r="A16" s="6" t="n">
        <v>9</v>
      </c>
      <c r="B16" s="7"/>
      <c r="C16" s="7"/>
      <c r="D16" s="7"/>
      <c r="E16" s="7"/>
      <c r="F16" s="8" t="n">
        <f aca="false">IFERROR(D16/E16*100,0)</f>
        <v>0</v>
      </c>
      <c r="G16" s="7"/>
      <c r="H16" s="7"/>
      <c r="I16" s="6" t="str">
        <f aca="false">IF(C16="","",D16*C16+G16+H16)</f>
        <v/>
      </c>
      <c r="J16" s="8" t="n">
        <f aca="false">IFERROR(I16/(E16*C16)*100,0)</f>
        <v>0</v>
      </c>
      <c r="K16" s="8" t="n">
        <f aca="false">IFERROR(J16-F16,0)</f>
        <v>0</v>
      </c>
    </row>
    <row r="17" customFormat="false" ht="15" hidden="false" customHeight="false" outlineLevel="0" collapsed="false">
      <c r="A17" s="6" t="n">
        <v>10</v>
      </c>
      <c r="B17" s="7"/>
      <c r="C17" s="7"/>
      <c r="D17" s="7"/>
      <c r="E17" s="7"/>
      <c r="F17" s="8" t="n">
        <f aca="false">IFERROR(D17/E17*100,0)</f>
        <v>0</v>
      </c>
      <c r="G17" s="7"/>
      <c r="H17" s="7"/>
      <c r="I17" s="6" t="str">
        <f aca="false">IF(C17="","",D17*C17+G17+H17)</f>
        <v/>
      </c>
      <c r="J17" s="8" t="n">
        <f aca="false">IFERROR(I17/(E17*C17)*100,0)</f>
        <v>0</v>
      </c>
      <c r="K17" s="8" t="n">
        <f aca="false">IFERROR(J17-F17,0)</f>
        <v>0</v>
      </c>
    </row>
    <row r="18" customFormat="false" ht="15" hidden="false" customHeight="false" outlineLevel="0" collapsed="false">
      <c r="A18" s="6" t="n">
        <v>11</v>
      </c>
      <c r="B18" s="7"/>
      <c r="C18" s="7"/>
      <c r="D18" s="7"/>
      <c r="E18" s="7"/>
      <c r="F18" s="8" t="n">
        <f aca="false">IFERROR(D18/E18*100,0)</f>
        <v>0</v>
      </c>
      <c r="G18" s="7"/>
      <c r="H18" s="7"/>
      <c r="I18" s="6" t="str">
        <f aca="false">IF(C18="","",D18*C18+G18+H18)</f>
        <v/>
      </c>
      <c r="J18" s="8" t="n">
        <f aca="false">IFERROR(I18/(E18*C18)*100,0)</f>
        <v>0</v>
      </c>
      <c r="K18" s="8" t="n">
        <f aca="false">IFERROR(J18-F18,0)</f>
        <v>0</v>
      </c>
    </row>
    <row r="19" customFormat="false" ht="15" hidden="false" customHeight="false" outlineLevel="0" collapsed="false">
      <c r="A19" s="6" t="n">
        <v>12</v>
      </c>
      <c r="B19" s="7"/>
      <c r="C19" s="7"/>
      <c r="D19" s="7"/>
      <c r="E19" s="7"/>
      <c r="F19" s="8" t="n">
        <f aca="false">IFERROR(D19/E19*100,0)</f>
        <v>0</v>
      </c>
      <c r="G19" s="7"/>
      <c r="H19" s="7"/>
      <c r="I19" s="6" t="str">
        <f aca="false">IF(C19="","",D19*C19+G19+H19)</f>
        <v/>
      </c>
      <c r="J19" s="8" t="n">
        <f aca="false">IFERROR(I19/(E19*C19)*100,0)</f>
        <v>0</v>
      </c>
      <c r="K19" s="8" t="n">
        <f aca="false">IFERROR(J19-F19,0)</f>
        <v>0</v>
      </c>
    </row>
    <row r="20" customFormat="false" ht="15" hidden="false" customHeight="false" outlineLevel="0" collapsed="false">
      <c r="A20" s="6" t="n">
        <v>13</v>
      </c>
      <c r="B20" s="7"/>
      <c r="C20" s="7"/>
      <c r="D20" s="7"/>
      <c r="E20" s="7"/>
      <c r="F20" s="8" t="n">
        <f aca="false">IFERROR(D20/E20*100,0)</f>
        <v>0</v>
      </c>
      <c r="G20" s="7"/>
      <c r="H20" s="7"/>
      <c r="I20" s="6" t="str">
        <f aca="false">IF(C20="","",D20*C20+G20+H20)</f>
        <v/>
      </c>
      <c r="J20" s="8" t="n">
        <f aca="false">IFERROR(I20/(E20*C20)*100,0)</f>
        <v>0</v>
      </c>
      <c r="K20" s="8" t="n">
        <f aca="false">IFERROR(J20-F20,0)</f>
        <v>0</v>
      </c>
    </row>
    <row r="21" customFormat="false" ht="15" hidden="false" customHeight="false" outlineLevel="0" collapsed="false">
      <c r="A21" s="6" t="n">
        <v>14</v>
      </c>
      <c r="B21" s="7"/>
      <c r="C21" s="7"/>
      <c r="D21" s="7"/>
      <c r="E21" s="7"/>
      <c r="F21" s="8" t="n">
        <f aca="false">IFERROR(D21/E21*100,0)</f>
        <v>0</v>
      </c>
      <c r="G21" s="7"/>
      <c r="H21" s="7"/>
      <c r="I21" s="6" t="str">
        <f aca="false">IF(C21="","",D21*C21+G21+H21)</f>
        <v/>
      </c>
      <c r="J21" s="8" t="n">
        <f aca="false">IFERROR(I21/(E21*C21)*100,0)</f>
        <v>0</v>
      </c>
      <c r="K21" s="8" t="n">
        <f aca="false">IFERROR(J21-F21,0)</f>
        <v>0</v>
      </c>
    </row>
    <row r="22" customFormat="false" ht="15" hidden="false" customHeight="false" outlineLevel="0" collapsed="false">
      <c r="A22" s="6" t="n">
        <v>15</v>
      </c>
      <c r="B22" s="7"/>
      <c r="C22" s="7"/>
      <c r="D22" s="7"/>
      <c r="E22" s="7"/>
      <c r="F22" s="8" t="n">
        <f aca="false">IFERROR(D22/E22*100,0)</f>
        <v>0</v>
      </c>
      <c r="G22" s="7"/>
      <c r="H22" s="7"/>
      <c r="I22" s="6" t="str">
        <f aca="false">IF(C22="","",D22*C22+G22+H22)</f>
        <v/>
      </c>
      <c r="J22" s="8" t="n">
        <f aca="false">IFERROR(I22/(E22*C22)*100,0)</f>
        <v>0</v>
      </c>
      <c r="K22" s="8" t="n">
        <f aca="false">IFERROR(J22-F22,0)</f>
        <v>0</v>
      </c>
    </row>
    <row r="24" customFormat="false" ht="15" hidden="false" customHeight="false" outlineLevel="0" collapsed="false">
      <c r="A24" s="9" t="s">
        <v>21</v>
      </c>
      <c r="B24" s="9"/>
      <c r="C24" s="10"/>
      <c r="D24" s="10"/>
      <c r="E24" s="10"/>
      <c r="F24" s="10"/>
      <c r="G24" s="11" t="n">
        <f aca="false">SUM(G8:G22)</f>
        <v>4400</v>
      </c>
      <c r="H24" s="11" t="n">
        <f aca="false">SUM(H8:H22)</f>
        <v>1600</v>
      </c>
      <c r="I24" s="11" t="n">
        <f aca="false">SUM(I8:I22)</f>
        <v>61600</v>
      </c>
      <c r="J24" s="10"/>
      <c r="K24" s="10"/>
    </row>
    <row r="26" customFormat="false" ht="15" hidden="false" customHeight="false" outlineLevel="0" collapsed="false">
      <c r="A26" s="12" t="s">
        <v>22</v>
      </c>
      <c r="B26" s="12"/>
      <c r="C26" s="12"/>
      <c r="D26" s="12"/>
      <c r="E26" s="13" t="n">
        <v>1200000</v>
      </c>
    </row>
    <row r="27" customFormat="false" ht="15" hidden="false" customHeight="false" outlineLevel="0" collapsed="false">
      <c r="A27" s="12" t="s">
        <v>23</v>
      </c>
      <c r="B27" s="12"/>
      <c r="C27" s="12"/>
      <c r="D27" s="12"/>
      <c r="E27" s="14" t="n">
        <f aca="false">IFERROR(I24/E26*100,0)</f>
        <v>5.13333333333333</v>
      </c>
    </row>
    <row r="29" customFormat="false" ht="15" hidden="false" customHeight="false" outlineLevel="0" collapsed="false">
      <c r="A29" s="15" t="s">
        <v>24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1" customFormat="false" ht="15" hidden="false" customHeight="false" outlineLevel="0" collapsed="false">
      <c r="A31" s="15" t="s">
        <v>25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</row>
  </sheetData>
  <mergeCells count="10">
    <mergeCell ref="A1:K1"/>
    <mergeCell ref="A2:K2"/>
    <mergeCell ref="B4:D4"/>
    <mergeCell ref="G4:H4"/>
    <mergeCell ref="B5:D5"/>
    <mergeCell ref="A24:B24"/>
    <mergeCell ref="A26:D26"/>
    <mergeCell ref="A27:D27"/>
    <mergeCell ref="A29:K29"/>
    <mergeCell ref="A31:K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24" hidden="false" customHeight="true" outlineLevel="0" collapsed="false">
      <c r="A1" s="16" t="s">
        <v>26</v>
      </c>
      <c r="B1" s="16"/>
    </row>
    <row r="3" customFormat="false" ht="33.75" hidden="false" customHeight="true" outlineLevel="0" collapsed="false">
      <c r="A3" s="17" t="s">
        <v>27</v>
      </c>
      <c r="B3" s="18" t="s">
        <v>28</v>
      </c>
    </row>
    <row r="5" customFormat="false" ht="33.75" hidden="false" customHeight="true" outlineLevel="0" collapsed="false">
      <c r="A5" s="17" t="s">
        <v>29</v>
      </c>
      <c r="B5" s="18" t="s">
        <v>30</v>
      </c>
    </row>
    <row r="7" customFormat="false" ht="33.75" hidden="false" customHeight="true" outlineLevel="0" collapsed="false">
      <c r="A7" s="17" t="s">
        <v>31</v>
      </c>
      <c r="B7" s="18" t="s">
        <v>32</v>
      </c>
    </row>
    <row r="9" customFormat="false" ht="33.75" hidden="false" customHeight="true" outlineLevel="0" collapsed="false">
      <c r="A9" s="17" t="s">
        <v>33</v>
      </c>
      <c r="B9" s="18" t="s">
        <v>34</v>
      </c>
    </row>
    <row r="11" customFormat="false" ht="33.75" hidden="false" customHeight="true" outlineLevel="0" collapsed="false">
      <c r="A11" s="17" t="s">
        <v>35</v>
      </c>
      <c r="B11" s="18" t="s">
        <v>36</v>
      </c>
    </row>
    <row r="13" customFormat="false" ht="33.75" hidden="false" customHeight="true" outlineLevel="0" collapsed="false">
      <c r="A13" s="17" t="s">
        <v>37</v>
      </c>
      <c r="B13" s="18" t="s">
        <v>38</v>
      </c>
    </row>
    <row r="15" customFormat="false" ht="33.75" hidden="false" customHeight="true" outlineLevel="0" collapsed="false">
      <c r="A15" s="17" t="s">
        <v>39</v>
      </c>
      <c r="B15" s="18" t="s">
        <v>40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2026-07-17T07:02:37Z</dcterms:created>
  <dc:creator>openpyxl</dc:creator>
  <dc:description/>
  <dc:language>en-US</dc:language>
  <cp:lastModifiedBy/>
  <dcterms:modified xsi:type="dcterms:W3CDTF">2026-07-17T07:02:37Z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
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C-анализ меню" sheetId="1" state="visible" r:id="rId3"/>
    <sheet name="Инструкция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<sst xmlns="http://schemas.openxmlformats.org/spreadsheetml/2006/main" count="37" uniqueCount="37">
  <si>
    <t xml:space="preserve">ШАБЛОН: ABC-АНАЛИЗ МЕНЮ</t>
  </si>
  <si>
    <t xml:space="preserve">Заполните жёлтые столбцы по каждому блюду — категории A/B/C и выводы рассчитаются автоматически.</t>
  </si>
  <si>
    <t xml:space="preserve">№</t>
  </si>
  <si>
    <t xml:space="preserve">Блюдо</t>
  </si>
  <si>
    <t xml:space="preserve">Категория меню</t>
  </si>
  <si>
    <t xml:space="preserve">Кол-во продаж
за период, шт</t>
  </si>
  <si>
    <t xml:space="preserve">Себестоимость,
руб/порц.</t>
  </si>
  <si>
    <t xml:space="preserve">Цена продажи,
руб.</t>
  </si>
  <si>
    <t xml:space="preserve">Маржа с блюда,
руб.</t>
  </si>
  <si>
    <t xml:space="preserve">Доля в общих
продажах, %</t>
  </si>
  <si>
    <t xml:space="preserve">Накопл. доля
продаж, %</t>
  </si>
  <si>
    <t xml:space="preserve">Popularity
(A/B по продажам)</t>
  </si>
  <si>
    <t xml:space="preserve">Margin
(A/B по марже)</t>
  </si>
  <si>
    <t xml:space="preserve">Итоговая
категория ABC</t>
  </si>
  <si>
    <t xml:space="preserve">1</t>
  </si>
  <si>
    <t xml:space="preserve">Стейк рибай</t>
  </si>
  <si>
    <t xml:space="preserve">Горячее</t>
  </si>
  <si>
    <t xml:space="preserve">2</t>
  </si>
  <si>
    <t xml:space="preserve">Салат Цезарь</t>
  </si>
  <si>
    <t xml:space="preserve">Закуски</t>
  </si>
  <si>
    <t xml:space="preserve">3</t>
  </si>
  <si>
    <t xml:space="preserve">Тирамису</t>
  </si>
  <si>
    <t xml:space="preserve">Десерты</t>
  </si>
  <si>
    <t xml:space="preserve">Жёлтые столбцы — заполняются вручную. A — звезда меню (высокие продажи + высокая маржа): продвигать. B — требует внимания: либо популярно, но низкомаржинально, либо маржинально, но редко заказывается. C — низкие продажи и маржа: переработать рецепт или убрать из меню.</t>
  </si>
  <si>
    <t xml:space="preserve">КАК ПОЛЬЗОВАТЬСЯ ШАБЛОНОМ</t>
  </si>
  <si>
    <t xml:space="preserve">1.</t>
  </si>
  <si>
    <t xml:space="preserve">Внесите в жёлтые столбцы все позиции меню (или минимум топ-30): название, категорию, количество продаж за период (рекомендуем месяц), себестоимость и цену продажи.</t>
  </si>
  <si>
    <t xml:space="preserve">2.</t>
  </si>
  <si>
    <t xml:space="preserve">Маржа, доля в продажах и накопленная доля считаются автоматически.</t>
  </si>
  <si>
    <t xml:space="preserve">3.</t>
  </si>
  <si>
    <t xml:space="preserve">Столбец «Popularity» показывает A, если продажи блюда выше среднего по меню, и B — если ниже.</t>
  </si>
  <si>
    <t xml:space="preserve">4.</t>
  </si>
  <si>
    <t xml:space="preserve">Столбец «Margin» показывает A, если маржа блюда выше среднего по меню, и B — если ниже.</t>
  </si>
  <si>
    <t xml:space="preserve">5.</t>
  </si>
  <si>
    <t xml:space="preserve">Итоговая категория ABC формируется автоматически на пересечении Popularity и Margin: A-звезда — держать и продвигать; B — требует решения (поднять цену, изменить состав или продвигать активнее); C — кандидат на переработку рецепта или удаление из меню.</t>
  </si>
  <si>
    <t xml:space="preserve">6.</t>
  </si>
  <si>
    <t xml:space="preserve">Проводите ABC-анализ не реже раза в квартал, а в период высокой инфляции цен на продукты — раз в месяц.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</si>
</sst>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E2609"/>
        <bgColor rgb="FF333333"/>
      </patternFill>
    </fill>
    <fill>
      <patternFill patternType="solid">
        <fgColor rgb="FF7A3B12"/>
        <bgColor rgb="FF4E2609"/>
      </patternFill>
    </fill>
    <fill>
      <patternFill patternType="solid">
        <fgColor rgb="FFFFF2CC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4E2609"/>
      <rgbColor rgb="FF7A3B12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11" min="4" style="0" width="12"/>
    <col collapsed="false" customWidth="true" hidden="false" outlineLevel="0" max="12" min="12" style="0" width="2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43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s">
        <v>14</v>
      </c>
      <c r="B5" s="5" t="s">
        <v>15</v>
      </c>
      <c r="C5" s="5" t="s">
        <v>16</v>
      </c>
      <c r="D5" s="5" t="n">
        <v>200</v>
      </c>
      <c r="E5" s="5" t="n">
        <v>322</v>
      </c>
      <c r="F5" s="5" t="n">
        <v>1200</v>
      </c>
      <c r="G5" s="4" t="n">
        <f aca="false">F5-E5</f>
        <v>878</v>
      </c>
      <c r="H5" s="6" t="n">
        <f aca="false">IFERROR(D5/SUM($D$5:$D$19)*100,"")</f>
        <v>32.7868852459016</v>
      </c>
      <c r="I5" s="6" t="n">
        <f aca="false">IFERROR(SUMIF($D$5:$D$19,"&gt;="&amp;D5)/SUM($D$5:$D$19)*100,"")</f>
        <v>90.1639344262295</v>
      </c>
      <c r="J5" s="4" t="str">
        <f aca="false">IF(D5="","",IF(D5&gt;=AVERAGE($D$5:$D$19),"A","B"))</f>
        <v>B</v>
      </c>
      <c r="K5" s="4" t="str">
        <f aca="false">IF(G5="","",IF(G5&gt;=AVERAGE($G$5:$G$19),"A","B"))</f>
        <v>A</v>
      </c>
      <c r="L5" s="4" t="str">
        <f aca="false">IF(OR(D5="",G5=""),"",IF(AND(J5="A",K5="A"),"A - звезда",IF(AND(J5="A",K5="B"),"B - популярное, низкая маржа",IF(AND(J5="B",K5="A"),"B - маржинальное, редкое","C - убрать/переработать"))))</f>
        <v>B - маржинальное, редкое</v>
      </c>
    </row>
    <row r="6" customFormat="false" ht="15" hidden="false" customHeight="false" outlineLevel="0" collapsed="false">
      <c r="A6" s="4" t="s">
        <v>17</v>
      </c>
      <c r="B6" s="5" t="s">
        <v>18</v>
      </c>
      <c r="C6" s="5" t="s">
        <v>19</v>
      </c>
      <c r="D6" s="5" t="n">
        <v>350</v>
      </c>
      <c r="E6" s="5" t="n">
        <v>180</v>
      </c>
      <c r="F6" s="5" t="n">
        <v>490</v>
      </c>
      <c r="G6" s="4" t="n">
        <f aca="false">F6-E6</f>
        <v>310</v>
      </c>
      <c r="H6" s="6" t="n">
        <f aca="false">IFERROR(D6/SUM($D$5:$D$19)*100,"")</f>
        <v>57.3770491803279</v>
      </c>
      <c r="I6" s="6" t="n">
        <f aca="false">IFERROR(SUMIF($D$5:$D$19,"&gt;="&amp;D6)/SUM($D$5:$D$19)*100,"")</f>
        <v>57.3770491803279</v>
      </c>
      <c r="J6" s="4" t="str">
        <f aca="false">IF(D6="","",IF(D6&gt;=AVERAGE($D$5:$D$19),"A","B"))</f>
        <v>A</v>
      </c>
      <c r="K6" s="4" t="str">
        <f aca="false">IF(G6="","",IF(G6&gt;=AVERAGE($G$5:$G$19),"A","B"))</f>
        <v>B</v>
      </c>
      <c r="L6" s="4" t="str">
        <f aca="false">IF(OR(D6="",G6=""),"",IF(AND(J6="A",K6="A"),"A - звезда",IF(AND(J6="A",K6="B"),"B - популярное, низкая маржа",IF(AND(J6="B",K6="A"),"B - маржинальное, редкое","C - убрать/переработать"))))</f>
        <v>B - популярное, низкая маржа</v>
      </c>
    </row>
    <row r="7" customFormat="false" ht="15" hidden="false" customHeight="false" outlineLevel="0" collapsed="false">
      <c r="A7" s="4" t="s">
        <v>20</v>
      </c>
      <c r="B7" s="5" t="s">
        <v>21</v>
      </c>
      <c r="C7" s="5" t="s">
        <v>22</v>
      </c>
      <c r="D7" s="5" t="n">
        <v>60</v>
      </c>
      <c r="E7" s="5" t="n">
        <v>150</v>
      </c>
      <c r="F7" s="5" t="n">
        <v>420</v>
      </c>
      <c r="G7" s="4" t="n">
        <f aca="false">F7-E7</f>
        <v>270</v>
      </c>
      <c r="H7" s="6" t="n">
        <f aca="false">IFERROR(D7/SUM($D$5:$D$19)*100,"")</f>
        <v>9.83606557377049</v>
      </c>
      <c r="I7" s="6" t="n">
        <f aca="false">IFERROR(SUMIF($D$5:$D$19,"&gt;="&amp;D7)/SUM($D$5:$D$19)*100,"")</f>
        <v>100</v>
      </c>
      <c r="J7" s="4" t="str">
        <f aca="false">IF(D7="","",IF(D7&gt;=AVERAGE($D$5:$D$19),"A","B"))</f>
        <v>B</v>
      </c>
      <c r="K7" s="4" t="str">
        <f aca="false">IF(G7="","",IF(G7&gt;=AVERAGE($G$5:$G$19),"A","B"))</f>
        <v>B</v>
      </c>
      <c r="L7" s="4" t="str">
        <f aca="false">IF(OR(D7="",G7=""),"",IF(AND(J7="A",K7="A"),"A - звезда",IF(AND(J7="A",K7="B"),"B - популярное, низкая маржа",IF(AND(J7="B",K7="A"),"B - маржинальное, редкое","C - убрать/переработать"))))</f>
        <v>C - убрать/переработать</v>
      </c>
    </row>
    <row r="8" customFormat="false" ht="15" hidden="false" customHeight="false" outlineLevel="0" collapsed="false">
      <c r="A8" s="4" t="n">
        <v>4</v>
      </c>
      <c r="B8" s="5"/>
      <c r="C8" s="5"/>
      <c r="D8" s="5"/>
      <c r="E8" s="5"/>
      <c r="F8" s="5"/>
      <c r="G8" s="4" t="str">
        <f aca="false">IF(D8="","",F8-E8)</f>
        <v/>
      </c>
      <c r="H8" s="6" t="n">
        <f aca="false">IFERROR(D8/SUM($D$5:$D$19)*100,"")</f>
        <v>0</v>
      </c>
      <c r="I8" s="6" t="n">
        <f aca="false">IFERROR(SUMIF($D$5:$D$19,"&gt;="&amp;D8)/SUM($D$5:$D$19)*100,"")</f>
        <v>0</v>
      </c>
      <c r="J8" s="4" t="str">
        <f aca="false">IF(D8="","",IF(D8&gt;=AVERAGE($D$5:$D$19),"A","B"))</f>
        <v/>
      </c>
      <c r="K8" s="4" t="str">
        <f aca="false">IF(G8="","",IF(G8&gt;=AVERAGE($G$5:$G$19),"A","B"))</f>
        <v/>
      </c>
      <c r="L8" s="4" t="str">
        <f aca="false">IF(OR(D8="",G8=""),"",IF(AND(J8="A",K8="A"),"A - звезда",IF(AND(J8="A",K8="B"),"B - популярное, низкая маржа",IF(AND(J8="B",K8="A"),"B - маржинальное, редкое","C - убрать/переработать"))))</f>
        <v/>
      </c>
    </row>
    <row r="9" customFormat="false" ht="15" hidden="false" customHeight="false" outlineLevel="0" collapsed="false">
      <c r="A9" s="4" t="n">
        <v>5</v>
      </c>
      <c r="B9" s="5"/>
      <c r="C9" s="5"/>
      <c r="D9" s="5"/>
      <c r="E9" s="5"/>
      <c r="F9" s="5"/>
      <c r="G9" s="4" t="str">
        <f aca="false">IF(D9="","",F9-E9)</f>
        <v/>
      </c>
      <c r="H9" s="6" t="n">
        <f aca="false">IFERROR(D9/SUM($D$5:$D$19)*100,"")</f>
        <v>0</v>
      </c>
      <c r="I9" s="6" t="n">
        <f aca="false">IFERROR(SUMIF($D$5:$D$19,"&gt;="&amp;D9)/SUM($D$5:$D$19)*100,"")</f>
        <v>0</v>
      </c>
      <c r="J9" s="4" t="str">
        <f aca="false">IF(D9="","",IF(D9&gt;=AVERAGE($D$5:$D$19),"A","B"))</f>
        <v/>
      </c>
      <c r="K9" s="4" t="str">
        <f aca="false">IF(G9="","",IF(G9&gt;=AVERAGE($G$5:$G$19),"A","B"))</f>
        <v/>
      </c>
      <c r="L9" s="4" t="str">
        <f aca="false">IF(OR(D9="",G9=""),"",IF(AND(J9="A",K9="A"),"A - звезда",IF(AND(J9="A",K9="B"),"B - популярное, низкая маржа",IF(AND(J9="B",K9="A"),"B - маржинальное, редкое","C - убрать/переработать"))))</f>
        <v/>
      </c>
    </row>
    <row r="10" customFormat="false" ht="15" hidden="false" customHeight="false" outlineLevel="0" collapsed="false">
      <c r="A10" s="4" t="n">
        <v>6</v>
      </c>
      <c r="B10" s="5"/>
      <c r="C10" s="5"/>
      <c r="D10" s="5"/>
      <c r="E10" s="5"/>
      <c r="F10" s="5"/>
      <c r="G10" s="4" t="str">
        <f aca="false">IF(D10="","",F10-E10)</f>
        <v/>
      </c>
      <c r="H10" s="6" t="n">
        <f aca="false">IFERROR(D10/SUM($D$5:$D$19)*100,"")</f>
        <v>0</v>
      </c>
      <c r="I10" s="6" t="n">
        <f aca="false">IFERROR(SUMIF($D$5:$D$19,"&gt;="&amp;D10)/SUM($D$5:$D$19)*100,"")</f>
        <v>0</v>
      </c>
      <c r="J10" s="4" t="str">
        <f aca="false">IF(D10="","",IF(D10&gt;=AVERAGE($D$5:$D$19),"A","B"))</f>
        <v/>
      </c>
      <c r="K10" s="4" t="str">
        <f aca="false">IF(G10="","",IF(G10&gt;=AVERAGE($G$5:$G$19),"A","B"))</f>
        <v/>
      </c>
      <c r="L10" s="4" t="str">
        <f aca="false">IF(OR(D10="",G10=""),"",IF(AND(J10="A",K10="A"),"A - звезда",IF(AND(J10="A",K10="B"),"B - популярное, низкая маржа",IF(AND(J10="B",K10="A"),"B - маржинальное, редкое","C - убрать/переработать"))))</f>
        <v/>
      </c>
    </row>
    <row r="11" customFormat="false" ht="15" hidden="false" customHeight="false" outlineLevel="0" collapsed="false">
      <c r="A11" s="4" t="n">
        <v>7</v>
      </c>
      <c r="B11" s="5"/>
      <c r="C11" s="5"/>
      <c r="D11" s="5"/>
      <c r="E11" s="5"/>
      <c r="F11" s="5"/>
      <c r="G11" s="4" t="str">
        <f aca="false">IF(D11="","",F11-E11)</f>
        <v/>
      </c>
      <c r="H11" s="6" t="n">
        <f aca="false">IFERROR(D11/SUM($D$5:$D$19)*100,"")</f>
        <v>0</v>
      </c>
      <c r="I11" s="6" t="n">
        <f aca="false">IFERROR(SUMIF($D$5:$D$19,"&gt;="&amp;D11)/SUM($D$5:$D$19)*100,"")</f>
        <v>0</v>
      </c>
      <c r="J11" s="4" t="str">
        <f aca="false">IF(D11="","",IF(D11&gt;=AVERAGE($D$5:$D$19),"A","B"))</f>
        <v/>
      </c>
      <c r="K11" s="4" t="str">
        <f aca="false">IF(G11="","",IF(G11&gt;=AVERAGE($G$5:$G$19),"A","B"))</f>
        <v/>
      </c>
      <c r="L11" s="4" t="str">
        <f aca="false">IF(OR(D11="",G11=""),"",IF(AND(J11="A",K11="A"),"A - звезда",IF(AND(J11="A",K11="B"),"B - популярное, низкая маржа",IF(AND(J11="B",K11="A"),"B - маржинальное, редкое","C - убрать/переработать"))))</f>
        <v/>
      </c>
    </row>
    <row r="12" customFormat="false" ht="15" hidden="false" customHeight="false" outlineLevel="0" collapsed="false">
      <c r="A12" s="4" t="n">
        <v>8</v>
      </c>
      <c r="B12" s="5"/>
      <c r="C12" s="5"/>
      <c r="D12" s="5"/>
      <c r="E12" s="5"/>
      <c r="F12" s="5"/>
      <c r="G12" s="4" t="str">
        <f aca="false">IF(D12="","",F12-E12)</f>
        <v/>
      </c>
      <c r="H12" s="6" t="n">
        <f aca="false">IFERROR(D12/SUM($D$5:$D$19)*100,"")</f>
        <v>0</v>
      </c>
      <c r="I12" s="6" t="n">
        <f aca="false">IFERROR(SUMIF($D$5:$D$19,"&gt;="&amp;D12)/SUM($D$5:$D$19)*100,"")</f>
        <v>0</v>
      </c>
      <c r="J12" s="4" t="str">
        <f aca="false">IF(D12="","",IF(D12&gt;=AVERAGE($D$5:$D$19),"A","B"))</f>
        <v/>
      </c>
      <c r="K12" s="4" t="str">
        <f aca="false">IF(G12="","",IF(G12&gt;=AVERAGE($G$5:$G$19),"A","B"))</f>
        <v/>
      </c>
      <c r="L12" s="4" t="str">
        <f aca="false">IF(OR(D12="",G12=""),"",IF(AND(J12="A",K12="A"),"A - звезда",IF(AND(J12="A",K12="B"),"B - популярное, низкая маржа",IF(AND(J12="B",K12="A"),"B - маржинальное, редкое","C - убрать/переработать"))))</f>
        <v/>
      </c>
    </row>
    <row r="13" customFormat="false" ht="15" hidden="false" customHeight="false" outlineLevel="0" collapsed="false">
      <c r="A13" s="4" t="n">
        <v>9</v>
      </c>
      <c r="B13" s="5"/>
      <c r="C13" s="5"/>
      <c r="D13" s="5"/>
      <c r="E13" s="5"/>
      <c r="F13" s="5"/>
      <c r="G13" s="4" t="str">
        <f aca="false">IF(D13="","",F13-E13)</f>
        <v/>
      </c>
      <c r="H13" s="6" t="n">
        <f aca="false">IFERROR(D13/SUM($D$5:$D$19)*100,"")</f>
        <v>0</v>
      </c>
      <c r="I13" s="6" t="n">
        <f aca="false">IFERROR(SUMIF($D$5:$D$19,"&gt;="&amp;D13)/SUM($D$5:$D$19)*100,"")</f>
        <v>0</v>
      </c>
      <c r="J13" s="4" t="str">
        <f aca="false">IF(D13="","",IF(D13&gt;=AVERAGE($D$5:$D$19),"A","B"))</f>
        <v/>
      </c>
      <c r="K13" s="4" t="str">
        <f aca="false">IF(G13="","",IF(G13&gt;=AVERAGE($G$5:$G$19),"A","B"))</f>
        <v/>
      </c>
      <c r="L13" s="4" t="str">
        <f aca="false">IF(OR(D13="",G13=""),"",IF(AND(J13="A",K13="A"),"A - звезда",IF(AND(J13="A",K13="B"),"B - популярное, низкая маржа",IF(AND(J13="B",K13="A"),"B - маржинальное, редкое","C - убрать/переработать"))))</f>
        <v/>
      </c>
    </row>
    <row r="14" customFormat="false" ht="15" hidden="false" customHeight="false" outlineLevel="0" collapsed="false">
      <c r="A14" s="4" t="n">
        <v>10</v>
      </c>
      <c r="B14" s="5"/>
      <c r="C14" s="5"/>
      <c r="D14" s="5"/>
      <c r="E14" s="5"/>
      <c r="F14" s="5"/>
      <c r="G14" s="4" t="str">
        <f aca="false">IF(D14="","",F14-E14)</f>
        <v/>
      </c>
      <c r="H14" s="6" t="n">
        <f aca="false">IFERROR(D14/SUM($D$5:$D$19)*100,"")</f>
        <v>0</v>
      </c>
      <c r="I14" s="6" t="n">
        <f aca="false">IFERROR(SUMIF($D$5:$D$19,"&gt;="&amp;D14)/SUM($D$5:$D$19)*100,"")</f>
        <v>0</v>
      </c>
      <c r="J14" s="4" t="str">
        <f aca="false">IF(D14="","",IF(D14&gt;=AVERAGE($D$5:$D$19),"A","B"))</f>
        <v/>
      </c>
      <c r="K14" s="4" t="str">
        <f aca="false">IF(G14="","",IF(G14&gt;=AVERAGE($G$5:$G$19),"A","B"))</f>
        <v/>
      </c>
      <c r="L14" s="4" t="str">
        <f aca="false">IF(OR(D14="",G14=""),"",IF(AND(J14="A",K14="A"),"A - звезда",IF(AND(J14="A",K14="B"),"B - популярное, низкая маржа",IF(AND(J14="B",K14="A"),"B - маржинальное, редкое","C - убрать/переработать"))))</f>
        <v/>
      </c>
    </row>
    <row r="15" customFormat="false" ht="15" hidden="false" customHeight="false" outlineLevel="0" collapsed="false">
      <c r="A15" s="4" t="n">
        <v>11</v>
      </c>
      <c r="B15" s="5"/>
      <c r="C15" s="5"/>
      <c r="D15" s="5"/>
      <c r="E15" s="5"/>
      <c r="F15" s="5"/>
      <c r="G15" s="4" t="str">
        <f aca="false">IF(D15="","",F15-E15)</f>
        <v/>
      </c>
      <c r="H15" s="6" t="n">
        <f aca="false">IFERROR(D15/SUM($D$5:$D$19)*100,"")</f>
        <v>0</v>
      </c>
      <c r="I15" s="6" t="n">
        <f aca="false">IFERROR(SUMIF($D$5:$D$19,"&gt;="&amp;D15)/SUM($D$5:$D$19)*100,"")</f>
        <v>0</v>
      </c>
      <c r="J15" s="4" t="str">
        <f aca="false">IF(D15="","",IF(D15&gt;=AVERAGE($D$5:$D$19),"A","B"))</f>
        <v/>
      </c>
      <c r="K15" s="4" t="str">
        <f aca="false">IF(G15="","",IF(G15&gt;=AVERAGE($G$5:$G$19),"A","B"))</f>
        <v/>
      </c>
      <c r="L15" s="4" t="str">
        <f aca="false">IF(OR(D15="",G15=""),"",IF(AND(J15="A",K15="A"),"A - звезда",IF(AND(J15="A",K15="B"),"B - популярное, низкая маржа",IF(AND(J15="B",K15="A"),"B - маржинальное, редкое","C - убрать/переработать"))))</f>
        <v/>
      </c>
    </row>
    <row r="16" customFormat="false" ht="15" hidden="false" customHeight="false" outlineLevel="0" collapsed="false">
      <c r="A16" s="4" t="n">
        <v>12</v>
      </c>
      <c r="B16" s="5"/>
      <c r="C16" s="5"/>
      <c r="D16" s="5"/>
      <c r="E16" s="5"/>
      <c r="F16" s="5"/>
      <c r="G16" s="4" t="str">
        <f aca="false">IF(D16="","",F16-E16)</f>
        <v/>
      </c>
      <c r="H16" s="6" t="n">
        <f aca="false">IFERROR(D16/SUM($D$5:$D$19)*100,"")</f>
        <v>0</v>
      </c>
      <c r="I16" s="6" t="n">
        <f aca="false">IFERROR(SUMIF($D$5:$D$19,"&gt;="&amp;D16)/SUM($D$5:$D$19)*100,"")</f>
        <v>0</v>
      </c>
      <c r="J16" s="4" t="str">
        <f aca="false">IF(D16="","",IF(D16&gt;=AVERAGE($D$5:$D$19),"A","B"))</f>
        <v/>
      </c>
      <c r="K16" s="4" t="str">
        <f aca="false">IF(G16="","",IF(G16&gt;=AVERAGE($G$5:$G$19),"A","B"))</f>
        <v/>
      </c>
      <c r="L16" s="4" t="str">
        <f aca="false">IF(OR(D16="",G16=""),"",IF(AND(J16="A",K16="A"),"A - звезда",IF(AND(J16="A",K16="B"),"B - популярное, низкая маржа",IF(AND(J16="B",K16="A"),"B - маржинальное, редкое","C - убрать/переработать"))))</f>
        <v/>
      </c>
    </row>
    <row r="17" customFormat="false" ht="15" hidden="false" customHeight="false" outlineLevel="0" collapsed="false">
      <c r="A17" s="4" t="n">
        <v>13</v>
      </c>
      <c r="B17" s="5"/>
      <c r="C17" s="5"/>
      <c r="D17" s="5"/>
      <c r="E17" s="5"/>
      <c r="F17" s="5"/>
      <c r="G17" s="4" t="str">
        <f aca="false">IF(D17="","",F17-E17)</f>
        <v/>
      </c>
      <c r="H17" s="6" t="n">
        <f aca="false">IFERROR(D17/SUM($D$5:$D$19)*100,"")</f>
        <v>0</v>
      </c>
      <c r="I17" s="6" t="n">
        <f aca="false">IFERROR(SUMIF($D$5:$D$19,"&gt;="&amp;D17)/SUM($D$5:$D$19)*100,"")</f>
        <v>0</v>
      </c>
      <c r="J17" s="4" t="str">
        <f aca="false">IF(D17="","",IF(D17&gt;=AVERAGE($D$5:$D$19),"A","B"))</f>
        <v/>
      </c>
      <c r="K17" s="4" t="str">
        <f aca="false">IF(G17="","",IF(G17&gt;=AVERAGE($G$5:$G$19),"A","B"))</f>
        <v/>
      </c>
      <c r="L17" s="4" t="str">
        <f aca="false">IF(OR(D17="",G17=""),"",IF(AND(J17="A",K17="A"),"A - звезда",IF(AND(J17="A",K17="B"),"B - популярное, низкая маржа",IF(AND(J17="B",K17="A"),"B - маржинальное, редкое","C - убрать/переработать"))))</f>
        <v/>
      </c>
    </row>
    <row r="18" customFormat="false" ht="15" hidden="false" customHeight="false" outlineLevel="0" collapsed="false">
      <c r="A18" s="4" t="n">
        <v>14</v>
      </c>
      <c r="B18" s="5"/>
      <c r="C18" s="5"/>
      <c r="D18" s="5"/>
      <c r="E18" s="5"/>
      <c r="F18" s="5"/>
      <c r="G18" s="4" t="str">
        <f aca="false">IF(D18="","",F18-E18)</f>
        <v/>
      </c>
      <c r="H18" s="6" t="n">
        <f aca="false">IFERROR(D18/SUM($D$5:$D$19)*100,"")</f>
        <v>0</v>
      </c>
      <c r="I18" s="6" t="n">
        <f aca="false">IFERROR(SUMIF($D$5:$D$19,"&gt;="&amp;D18)/SUM($D$5:$D$19)*100,"")</f>
        <v>0</v>
      </c>
      <c r="J18" s="4" t="str">
        <f aca="false">IF(D18="","",IF(D18&gt;=AVERAGE($D$5:$D$19),"A","B"))</f>
        <v/>
      </c>
      <c r="K18" s="4" t="str">
        <f aca="false">IF(G18="","",IF(G18&gt;=AVERAGE($G$5:$G$19),"A","B"))</f>
        <v/>
      </c>
      <c r="L18" s="4" t="str">
        <f aca="false">IF(OR(D18="",G18=""),"",IF(AND(J18="A",K18="A"),"A - звезда",IF(AND(J18="A",K18="B"),"B - популярное, низкая маржа",IF(AND(J18="B",K18="A"),"B - маржинальное, редкое","C - убрать/переработать"))))</f>
        <v/>
      </c>
    </row>
    <row r="19" customFormat="false" ht="15" hidden="false" customHeight="false" outlineLevel="0" collapsed="false">
      <c r="A19" s="4" t="n">
        <v>15</v>
      </c>
      <c r="B19" s="5"/>
      <c r="C19" s="5"/>
      <c r="D19" s="5"/>
      <c r="E19" s="5"/>
      <c r="F19" s="5"/>
      <c r="G19" s="4" t="str">
        <f aca="false">IF(D19="","",F19-E19)</f>
        <v/>
      </c>
      <c r="H19" s="6" t="n">
        <f aca="false">IFERROR(D19/SUM($D$5:$D$19)*100,"")</f>
        <v>0</v>
      </c>
      <c r="I19" s="6" t="n">
        <f aca="false">IFERROR(SUMIF($D$5:$D$19,"&gt;="&amp;D19)/SUM($D$5:$D$19)*100,"")</f>
        <v>0</v>
      </c>
      <c r="J19" s="4" t="str">
        <f aca="false">IF(D19="","",IF(D19&gt;=AVERAGE($D$5:$D$19),"A","B"))</f>
        <v/>
      </c>
      <c r="K19" s="4" t="str">
        <f aca="false">IF(G19="","",IF(G19&gt;=AVERAGE($G$5:$G$19),"A","B"))</f>
        <v/>
      </c>
      <c r="L19" s="4" t="str">
        <f aca="false">IF(OR(D19="",G19=""),"",IF(AND(J19="A",K19="A"),"A - звезда",IF(AND(J19="A",K19="B"),"B - популярное, низкая маржа",IF(AND(J19="B",K19="A"),"B - маржинальное, редкое","C - убрать/переработать"))))</f>
        <v/>
      </c>
    </row>
    <row r="21" customFormat="false" ht="39.75" hidden="false" customHeight="true" outlineLevel="0" collapsed="false">
      <c r="A21" s="7" t="s">
        <v>23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</sheetData>
  <mergeCells count="3">
    <mergeCell ref="A1:L1"/>
    <mergeCell ref="A2:L2"/>
    <mergeCell ref="A21:L21"/>
  </mergeCells>
  <conditionalFormatting sqref="L5:L19">
    <cfRule type="expression" priority="2" aboveAverage="0" equalAverage="0" bottom="0" percent="0" rank="0" text="" dxfId="0">
      <formula>ISNUMBER(SEARCH("A - звезда",L5))</formula>
    </cfRule>
    <cfRule type="expression" priority="3" aboveAverage="0" equalAverage="0" bottom="0" percent="0" rank="0" text="" dxfId="1">
      <formula>ISNUMBER(SEARCH("C -",L5))</formula>
    </cfRule>
    <cfRule type="expression" priority="4" aboveAverage="0" equalAverage="0" bottom="0" percent="0" rank="0" text="" dxfId="2">
      <formula>ISNUMBER(SEARCH("B -",L5))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5"/>
  </cols>
  <sheetData>
    <row r="1" customFormat="false" ht="24" hidden="false" customHeight="true" outlineLevel="0" collapsed="false">
      <c r="A1" s="8" t="s">
        <v>24</v>
      </c>
      <c r="B1" s="8"/>
    </row>
    <row r="3" customFormat="false" ht="39.75" hidden="false" customHeight="true" outlineLevel="0" collapsed="false">
      <c r="A3" s="9" t="s">
        <v>25</v>
      </c>
      <c r="B3" s="10" t="s">
        <v>26</v>
      </c>
    </row>
    <row r="5" customFormat="false" ht="39.75" hidden="false" customHeight="true" outlineLevel="0" collapsed="false">
      <c r="A5" s="9" t="s">
        <v>27</v>
      </c>
      <c r="B5" s="10" t="s">
        <v>28</v>
      </c>
    </row>
    <row r="7" customFormat="false" ht="39.75" hidden="false" customHeight="true" outlineLevel="0" collapsed="false">
      <c r="A7" s="9" t="s">
        <v>29</v>
      </c>
      <c r="B7" s="10" t="s">
        <v>30</v>
      </c>
    </row>
    <row r="9" customFormat="false" ht="39.75" hidden="false" customHeight="true" outlineLevel="0" collapsed="false">
      <c r="A9" s="9" t="s">
        <v>31</v>
      </c>
      <c r="B9" s="10" t="s">
        <v>32</v>
      </c>
    </row>
    <row r="11" customFormat="false" ht="39.75" hidden="false" customHeight="true" outlineLevel="0" collapsed="false">
      <c r="A11" s="9" t="s">
        <v>33</v>
      </c>
      <c r="B11" s="10" t="s">
        <v>34</v>
      </c>
    </row>
    <row r="13" customFormat="false" ht="39.75" hidden="false" customHeight="true" outlineLevel="0" collapsed="false">
      <c r="A13" s="9" t="s">
        <v>35</v>
      </c>
      <c r="B13" s="10" t="s">
        <v>36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2026-07-17T07:03:20Z</dcterms:created>
  <dc:creator>openpyxl</dc:creator>
  <dc:description/>
  <dc:language>en-US</dc:language>
  <cp:lastModifiedBy/>
  <dcterms:modified xsi:type="dcterms:W3CDTF">2026-07-17T07:03:20Z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